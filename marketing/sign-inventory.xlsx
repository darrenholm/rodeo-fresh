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 Inventory" sheetId="1" state="visible" r:id="rId3"/>
    <sheet name="Lists" sheetId="2" state="visible" r:id="rId4"/>
    <sheet name="Summary" sheetId="3" state="visible" r:id="rId5"/>
  </sheets>
  <definedNames>
    <definedName function="false" hidden="true" localSheetId="0" name="_xlnm._FilterDatabase" vbProcedure="false">'Sign Inventory'!$A$4:$K$65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<sst xmlns="http://schemas.openxmlformats.org/spreadsheetml/2006/main" count="173" uniqueCount="89">
  <si>
    <t xml:space="preserve">HOLMDALE PRO RODEO — SIGN INVENTORY</t>
  </si>
  <si>
    <t xml:space="preserve">HOW TO USE: Fill in the YELLOW cells during your walk-through. One row per sign (or per batch of identical signs — use Qty). Category, Size, Material and Condition have dropdowns, but you can type your own value. For sponsor signs, put the sponsor's name in column D. Row 5 is an EXAMPLE only — overwrite or delete it.</t>
  </si>
  <si>
    <t xml:space="preserve">#</t>
  </si>
  <si>
    <t xml:space="preserve">Sign / What it says</t>
  </si>
  <si>
    <t xml:space="preserve">Category</t>
  </si>
  <si>
    <t xml:space="preserve">Sponsor (if applicable)</t>
  </si>
  <si>
    <t xml:space="preserve">Size</t>
  </si>
  <si>
    <t xml:space="preserve">Material</t>
  </si>
  <si>
    <t xml:space="preserve">Qty</t>
  </si>
  <si>
    <t xml:space="preserve">Condition</t>
  </si>
  <si>
    <t xml:space="preserve">Where it's used on site</t>
  </si>
  <si>
    <t xml:space="preserve">Stored at (off-season)</t>
  </si>
  <si>
    <t xml:space="preserve">Notes</t>
  </si>
  <si>
    <t xml:space="preserve">Beer Garden — Bruce County Ford</t>
  </si>
  <si>
    <t xml:space="preserve">Sponsor</t>
  </si>
  <si>
    <t xml:space="preserve">Bruce County Ford</t>
  </si>
  <si>
    <t xml:space="preserve">4 ft x 8 ft</t>
  </si>
  <si>
    <t xml:space="preserve">Coroplast (corrugated plastic)</t>
  </si>
  <si>
    <t xml:space="preserve">Good</t>
  </si>
  <si>
    <t xml:space="preserve">Beer garden fence, north side</t>
  </si>
  <si>
    <t xml:space="preserve">Holm barn loft</t>
  </si>
  <si>
    <t xml:space="preserve">EXAMPLE ROW — replace with a real sign</t>
  </si>
  <si>
    <t xml:space="preserve">Main entrance / welcome sign</t>
  </si>
  <si>
    <t xml:space="preserve">Operations</t>
  </si>
  <si>
    <t xml:space="preserve">—</t>
  </si>
  <si>
    <t xml:space="preserve">Highway directional signs (roadside)</t>
  </si>
  <si>
    <t xml:space="preserve">Parking →</t>
  </si>
  <si>
    <t xml:space="preserve">Accessible parking</t>
  </si>
  <si>
    <t xml:space="preserve">No parking — fire route</t>
  </si>
  <si>
    <t xml:space="preserve">Contestant / trailer parking</t>
  </si>
  <si>
    <t xml:space="preserve">Box office / tickets</t>
  </si>
  <si>
    <t xml:space="preserve">General admission gate</t>
  </si>
  <si>
    <t xml:space="preserve">Gate hours / schedule board</t>
  </si>
  <si>
    <t xml:space="preserve">ATM →</t>
  </si>
  <si>
    <t xml:space="preserve">Washrooms →</t>
  </si>
  <si>
    <t xml:space="preserve">First aid</t>
  </si>
  <si>
    <t xml:space="preserve">Lost &amp; found</t>
  </si>
  <si>
    <t xml:space="preserve">Beer garden / bar</t>
  </si>
  <si>
    <t xml:space="preserve">No alcohol beyond this point (AGCO)</t>
  </si>
  <si>
    <t xml:space="preserve">2 drink maximum per visit (AGCO)</t>
  </si>
  <si>
    <t xml:space="preserve">ID required — 19+</t>
  </si>
  <si>
    <t xml:space="preserve">Food vendors →</t>
  </si>
  <si>
    <t xml:space="preserve">Vendor row / marketplace</t>
  </si>
  <si>
    <t xml:space="preserve">Exit / no re-entry</t>
  </si>
  <si>
    <t xml:space="preserve">Emergency exit</t>
  </si>
  <si>
    <t xml:space="preserve">Emergency muster point</t>
  </si>
  <si>
    <t xml:space="preserve">Camping area</t>
  </si>
  <si>
    <t xml:space="preserve">Livestock area — authorized personnel only</t>
  </si>
  <si>
    <t xml:space="preserve">Caution — livestock</t>
  </si>
  <si>
    <t xml:space="preserve">No smoking</t>
  </si>
  <si>
    <t xml:space="preserve">No pets / service animals only</t>
  </si>
  <si>
    <t xml:space="preserve">Volunteer / staff check-in</t>
  </si>
  <si>
    <t xml:space="preserve">Grandstand seating sections</t>
  </si>
  <si>
    <t xml:space="preserve">Sponsor thank-you banner (all sponsors)</t>
  </si>
  <si>
    <t xml:space="preserve">Common sizes</t>
  </si>
  <si>
    <t xml:space="preserve">12" x 18"</t>
  </si>
  <si>
    <t xml:space="preserve">New</t>
  </si>
  <si>
    <t xml:space="preserve">Vinyl banner</t>
  </si>
  <si>
    <t xml:space="preserve">18" x 24"</t>
  </si>
  <si>
    <t xml:space="preserve">Mesh banner</t>
  </si>
  <si>
    <t xml:space="preserve">24" x 36"</t>
  </si>
  <si>
    <t xml:space="preserve">Fair</t>
  </si>
  <si>
    <t xml:space="preserve">Aluminum / metal</t>
  </si>
  <si>
    <t xml:space="preserve">2 ft x 4 ft</t>
  </si>
  <si>
    <t xml:space="preserve">Needs repair</t>
  </si>
  <si>
    <t xml:space="preserve">Plywood (painted)</t>
  </si>
  <si>
    <t xml:space="preserve">4 ft x 4 ft</t>
  </si>
  <si>
    <t xml:space="preserve">Replace</t>
  </si>
  <si>
    <t xml:space="preserve">PVC / Sintra board</t>
  </si>
  <si>
    <t xml:space="preserve">Fabric flag</t>
  </si>
  <si>
    <t xml:space="preserve">3 ft x 6 ft banner</t>
  </si>
  <si>
    <t xml:space="preserve">Magnetic</t>
  </si>
  <si>
    <t xml:space="preserve">3 ft x 10 ft banner</t>
  </si>
  <si>
    <t xml:space="preserve">Cardboard / paper</t>
  </si>
  <si>
    <t xml:space="preserve">4 ft x 10 ft banner</t>
  </si>
  <si>
    <t xml:space="preserve">Other</t>
  </si>
  <si>
    <t xml:space="preserve">Flag (standard)</t>
  </si>
  <si>
    <t xml:space="preserve">Other (note exact size)</t>
  </si>
  <si>
    <t xml:space="preserve">SIGN INVENTORY — SUMMARY</t>
  </si>
  <si>
    <t xml:space="preserve">Updates automatically as the Sign Inventory sheet is filled in. Counts include the example row until you replace it.</t>
  </si>
  <si>
    <t xml:space="preserve">Overview</t>
  </si>
  <si>
    <t xml:space="preserve">Line items</t>
  </si>
  <si>
    <t xml:space="preserve">Total signs (Qty)</t>
  </si>
  <si>
    <t xml:space="preserve">All signs</t>
  </si>
  <si>
    <t xml:space="preserve">Sponsor signs</t>
  </si>
  <si>
    <t xml:space="preserve">Operations signs</t>
  </si>
  <si>
    <t xml:space="preserve">Rows still missing a category</t>
  </si>
  <si>
    <t xml:space="preserve">By material</t>
  </si>
  <si>
    <t xml:space="preserve">By condition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</si>
</sst>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2A2A"/>
        <bgColor rgb="FF333300"/>
      </patternFill>
    </fill>
    <fill>
      <patternFill patternType="solid">
        <fgColor rgb="FF00B74A"/>
        <bgColor rgb="FF008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B7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74A"/>
      <rgbColor rgb="FF003300"/>
      <rgbColor rgb="FF333300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6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24"/>
    <col collapsed="false" customWidth="true" hidden="false" outlineLevel="0" max="11" min="11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f aca="false">IF(B5="","",ROW()-4)</f>
        <v>1</v>
      </c>
      <c r="B5" s="4" t="s">
        <v>13</v>
      </c>
      <c r="C5" s="5" t="s">
        <v>14</v>
      </c>
      <c r="D5" s="4" t="s">
        <v>15</v>
      </c>
      <c r="E5" s="5" t="s">
        <v>16</v>
      </c>
      <c r="F5" s="5" t="s">
        <v>17</v>
      </c>
      <c r="G5" s="6" t="n">
        <v>2</v>
      </c>
      <c r="H5" s="5" t="s">
        <v>18</v>
      </c>
      <c r="I5" s="4" t="s">
        <v>19</v>
      </c>
      <c r="J5" s="4" t="s">
        <v>20</v>
      </c>
      <c r="K5" s="4" t="s">
        <v>21</v>
      </c>
    </row>
    <row r="6" customFormat="false" ht="15" hidden="false" customHeight="false" outlineLevel="0" collapsed="false">
      <c r="A6" s="7" t="n">
        <f aca="false">IF(B6="","",ROW()-4)</f>
        <v>2</v>
      </c>
      <c r="B6" s="7" t="s">
        <v>22</v>
      </c>
      <c r="C6" s="8" t="s">
        <v>23</v>
      </c>
      <c r="D6" s="7" t="s">
        <v>24</v>
      </c>
      <c r="E6" s="9"/>
      <c r="F6" s="9"/>
      <c r="G6" s="10"/>
      <c r="H6" s="9"/>
      <c r="I6" s="9"/>
      <c r="J6" s="9"/>
      <c r="K6" s="9"/>
    </row>
    <row r="7" customFormat="false" ht="15" hidden="false" customHeight="false" outlineLevel="0" collapsed="false">
      <c r="A7" s="7" t="n">
        <f aca="false">IF(B7="","",ROW()-4)</f>
        <v>3</v>
      </c>
      <c r="B7" s="7" t="s">
        <v>25</v>
      </c>
      <c r="C7" s="8" t="s">
        <v>23</v>
      </c>
      <c r="D7" s="7" t="s">
        <v>24</v>
      </c>
      <c r="E7" s="9"/>
      <c r="F7" s="9"/>
      <c r="G7" s="10"/>
      <c r="H7" s="9"/>
      <c r="I7" s="9"/>
      <c r="J7" s="9"/>
      <c r="K7" s="9"/>
    </row>
    <row r="8" customFormat="false" ht="15" hidden="false" customHeight="false" outlineLevel="0" collapsed="false">
      <c r="A8" s="7" t="n">
        <f aca="false">IF(B8="","",ROW()-4)</f>
        <v>4</v>
      </c>
      <c r="B8" s="7" t="s">
        <v>26</v>
      </c>
      <c r="C8" s="8" t="s">
        <v>23</v>
      </c>
      <c r="D8" s="7" t="s">
        <v>24</v>
      </c>
      <c r="E8" s="9"/>
      <c r="F8" s="9"/>
      <c r="G8" s="10"/>
      <c r="H8" s="9"/>
      <c r="I8" s="9"/>
      <c r="J8" s="9"/>
      <c r="K8" s="9"/>
    </row>
    <row r="9" customFormat="false" ht="15" hidden="false" customHeight="false" outlineLevel="0" collapsed="false">
      <c r="A9" s="7" t="n">
        <f aca="false">IF(B9="","",ROW()-4)</f>
        <v>5</v>
      </c>
      <c r="B9" s="7" t="s">
        <v>27</v>
      </c>
      <c r="C9" s="8" t="s">
        <v>23</v>
      </c>
      <c r="D9" s="7" t="s">
        <v>24</v>
      </c>
      <c r="E9" s="9"/>
      <c r="F9" s="9"/>
      <c r="G9" s="10"/>
      <c r="H9" s="9"/>
      <c r="I9" s="9"/>
      <c r="J9" s="9"/>
      <c r="K9" s="9"/>
    </row>
    <row r="10" customFormat="false" ht="15" hidden="false" customHeight="false" outlineLevel="0" collapsed="false">
      <c r="A10" s="7" t="n">
        <f aca="false">IF(B10="","",ROW()-4)</f>
        <v>6</v>
      </c>
      <c r="B10" s="7" t="s">
        <v>28</v>
      </c>
      <c r="C10" s="8" t="s">
        <v>23</v>
      </c>
      <c r="D10" s="7" t="s">
        <v>24</v>
      </c>
      <c r="E10" s="9"/>
      <c r="F10" s="9"/>
      <c r="G10" s="10"/>
      <c r="H10" s="9"/>
      <c r="I10" s="9"/>
      <c r="J10" s="9"/>
      <c r="K10" s="9"/>
    </row>
    <row r="11" customFormat="false" ht="15" hidden="false" customHeight="false" outlineLevel="0" collapsed="false">
      <c r="A11" s="7" t="n">
        <f aca="false">IF(B11="","",ROW()-4)</f>
        <v>7</v>
      </c>
      <c r="B11" s="7" t="s">
        <v>29</v>
      </c>
      <c r="C11" s="8" t="s">
        <v>23</v>
      </c>
      <c r="D11" s="7" t="s">
        <v>24</v>
      </c>
      <c r="E11" s="9"/>
      <c r="F11" s="9"/>
      <c r="G11" s="10"/>
      <c r="H11" s="9"/>
      <c r="I11" s="9"/>
      <c r="J11" s="9"/>
      <c r="K11" s="9"/>
    </row>
    <row r="12" customFormat="false" ht="15" hidden="false" customHeight="false" outlineLevel="0" collapsed="false">
      <c r="A12" s="7" t="n">
        <f aca="false">IF(B12="","",ROW()-4)</f>
        <v>8</v>
      </c>
      <c r="B12" s="7" t="s">
        <v>30</v>
      </c>
      <c r="C12" s="8" t="s">
        <v>23</v>
      </c>
      <c r="D12" s="7" t="s">
        <v>24</v>
      </c>
      <c r="E12" s="9"/>
      <c r="F12" s="9"/>
      <c r="G12" s="10"/>
      <c r="H12" s="9"/>
      <c r="I12" s="9"/>
      <c r="J12" s="9"/>
      <c r="K12" s="9"/>
    </row>
    <row r="13" customFormat="false" ht="15" hidden="false" customHeight="false" outlineLevel="0" collapsed="false">
      <c r="A13" s="7" t="n">
        <f aca="false">IF(B13="","",ROW()-4)</f>
        <v>9</v>
      </c>
      <c r="B13" s="7" t="s">
        <v>31</v>
      </c>
      <c r="C13" s="8" t="s">
        <v>23</v>
      </c>
      <c r="D13" s="7" t="s">
        <v>24</v>
      </c>
      <c r="E13" s="9"/>
      <c r="F13" s="9"/>
      <c r="G13" s="10"/>
      <c r="H13" s="9"/>
      <c r="I13" s="9"/>
      <c r="J13" s="9"/>
      <c r="K13" s="9"/>
    </row>
    <row r="14" customFormat="false" ht="15" hidden="false" customHeight="false" outlineLevel="0" collapsed="false">
      <c r="A14" s="7" t="n">
        <f aca="false">IF(B14="","",ROW()-4)</f>
        <v>10</v>
      </c>
      <c r="B14" s="7" t="s">
        <v>32</v>
      </c>
      <c r="C14" s="8" t="s">
        <v>23</v>
      </c>
      <c r="D14" s="7" t="s">
        <v>24</v>
      </c>
      <c r="E14" s="9"/>
      <c r="F14" s="9"/>
      <c r="G14" s="10"/>
      <c r="H14" s="9"/>
      <c r="I14" s="9"/>
      <c r="J14" s="9"/>
      <c r="K14" s="9"/>
    </row>
    <row r="15" customFormat="false" ht="15" hidden="false" customHeight="false" outlineLevel="0" collapsed="false">
      <c r="A15" s="7" t="n">
        <f aca="false">IF(B15="","",ROW()-4)</f>
        <v>11</v>
      </c>
      <c r="B15" s="7" t="s">
        <v>33</v>
      </c>
      <c r="C15" s="8" t="s">
        <v>23</v>
      </c>
      <c r="D15" s="7" t="s">
        <v>24</v>
      </c>
      <c r="E15" s="9"/>
      <c r="F15" s="9"/>
      <c r="G15" s="10"/>
      <c r="H15" s="9"/>
      <c r="I15" s="9"/>
      <c r="J15" s="9"/>
      <c r="K15" s="9"/>
    </row>
    <row r="16" customFormat="false" ht="15" hidden="false" customHeight="false" outlineLevel="0" collapsed="false">
      <c r="A16" s="7" t="n">
        <f aca="false">IF(B16="","",ROW()-4)</f>
        <v>12</v>
      </c>
      <c r="B16" s="7" t="s">
        <v>34</v>
      </c>
      <c r="C16" s="8" t="s">
        <v>23</v>
      </c>
      <c r="D16" s="7" t="s">
        <v>24</v>
      </c>
      <c r="E16" s="9"/>
      <c r="F16" s="9"/>
      <c r="G16" s="10"/>
      <c r="H16" s="9"/>
      <c r="I16" s="9"/>
      <c r="J16" s="9"/>
      <c r="K16" s="9"/>
    </row>
    <row r="17" customFormat="false" ht="15" hidden="false" customHeight="false" outlineLevel="0" collapsed="false">
      <c r="A17" s="7" t="n">
        <f aca="false">IF(B17="","",ROW()-4)</f>
        <v>13</v>
      </c>
      <c r="B17" s="7" t="s">
        <v>35</v>
      </c>
      <c r="C17" s="8" t="s">
        <v>23</v>
      </c>
      <c r="D17" s="7" t="s">
        <v>24</v>
      </c>
      <c r="E17" s="9"/>
      <c r="F17" s="9"/>
      <c r="G17" s="10"/>
      <c r="H17" s="9"/>
      <c r="I17" s="9"/>
      <c r="J17" s="9"/>
      <c r="K17" s="9"/>
    </row>
    <row r="18" customFormat="false" ht="15" hidden="false" customHeight="false" outlineLevel="0" collapsed="false">
      <c r="A18" s="7" t="n">
        <f aca="false">IF(B18="","",ROW()-4)</f>
        <v>14</v>
      </c>
      <c r="B18" s="7" t="s">
        <v>36</v>
      </c>
      <c r="C18" s="8" t="s">
        <v>23</v>
      </c>
      <c r="D18" s="7" t="s">
        <v>24</v>
      </c>
      <c r="E18" s="9"/>
      <c r="F18" s="9"/>
      <c r="G18" s="10"/>
      <c r="H18" s="9"/>
      <c r="I18" s="9"/>
      <c r="J18" s="9"/>
      <c r="K18" s="9"/>
    </row>
    <row r="19" customFormat="false" ht="15" hidden="false" customHeight="false" outlineLevel="0" collapsed="false">
      <c r="A19" s="7" t="n">
        <f aca="false">IF(B19="","",ROW()-4)</f>
        <v>15</v>
      </c>
      <c r="B19" s="7" t="s">
        <v>37</v>
      </c>
      <c r="C19" s="8" t="s">
        <v>23</v>
      </c>
      <c r="D19" s="7" t="s">
        <v>24</v>
      </c>
      <c r="E19" s="9"/>
      <c r="F19" s="9"/>
      <c r="G19" s="10"/>
      <c r="H19" s="9"/>
      <c r="I19" s="9"/>
      <c r="J19" s="9"/>
      <c r="K19" s="9"/>
    </row>
    <row r="20" customFormat="false" ht="15" hidden="false" customHeight="false" outlineLevel="0" collapsed="false">
      <c r="A20" s="7" t="n">
        <f aca="false">IF(B20="","",ROW()-4)</f>
        <v>16</v>
      </c>
      <c r="B20" s="7" t="s">
        <v>38</v>
      </c>
      <c r="C20" s="8" t="s">
        <v>23</v>
      </c>
      <c r="D20" s="7" t="s">
        <v>24</v>
      </c>
      <c r="E20" s="9"/>
      <c r="F20" s="9"/>
      <c r="G20" s="10"/>
      <c r="H20" s="9"/>
      <c r="I20" s="9"/>
      <c r="J20" s="9"/>
      <c r="K20" s="9"/>
    </row>
    <row r="21" customFormat="false" ht="15" hidden="false" customHeight="false" outlineLevel="0" collapsed="false">
      <c r="A21" s="7" t="n">
        <f aca="false">IF(B21="","",ROW()-4)</f>
        <v>17</v>
      </c>
      <c r="B21" s="7" t="s">
        <v>39</v>
      </c>
      <c r="C21" s="8" t="s">
        <v>23</v>
      </c>
      <c r="D21" s="7" t="s">
        <v>24</v>
      </c>
      <c r="E21" s="9"/>
      <c r="F21" s="9"/>
      <c r="G21" s="10"/>
      <c r="H21" s="9"/>
      <c r="I21" s="9"/>
      <c r="J21" s="9"/>
      <c r="K21" s="9"/>
    </row>
    <row r="22" customFormat="false" ht="15" hidden="false" customHeight="false" outlineLevel="0" collapsed="false">
      <c r="A22" s="7" t="n">
        <f aca="false">IF(B22="","",ROW()-4)</f>
        <v>18</v>
      </c>
      <c r="B22" s="7" t="s">
        <v>40</v>
      </c>
      <c r="C22" s="8" t="s">
        <v>23</v>
      </c>
      <c r="D22" s="7" t="s">
        <v>24</v>
      </c>
      <c r="E22" s="9"/>
      <c r="F22" s="9"/>
      <c r="G22" s="10"/>
      <c r="H22" s="9"/>
      <c r="I22" s="9"/>
      <c r="J22" s="9"/>
      <c r="K22" s="9"/>
    </row>
    <row r="23" customFormat="false" ht="15" hidden="false" customHeight="false" outlineLevel="0" collapsed="false">
      <c r="A23" s="7" t="n">
        <f aca="false">IF(B23="","",ROW()-4)</f>
        <v>19</v>
      </c>
      <c r="B23" s="7" t="s">
        <v>41</v>
      </c>
      <c r="C23" s="8" t="s">
        <v>23</v>
      </c>
      <c r="D23" s="7" t="s">
        <v>24</v>
      </c>
      <c r="E23" s="9"/>
      <c r="F23" s="9"/>
      <c r="G23" s="10"/>
      <c r="H23" s="9"/>
      <c r="I23" s="9"/>
      <c r="J23" s="9"/>
      <c r="K23" s="9"/>
    </row>
    <row r="24" customFormat="false" ht="15" hidden="false" customHeight="false" outlineLevel="0" collapsed="false">
      <c r="A24" s="7" t="n">
        <f aca="false">IF(B24="","",ROW()-4)</f>
        <v>20</v>
      </c>
      <c r="B24" s="7" t="s">
        <v>42</v>
      </c>
      <c r="C24" s="8" t="s">
        <v>23</v>
      </c>
      <c r="D24" s="7" t="s">
        <v>24</v>
      </c>
      <c r="E24" s="9"/>
      <c r="F24" s="9"/>
      <c r="G24" s="10"/>
      <c r="H24" s="9"/>
      <c r="I24" s="9"/>
      <c r="J24" s="9"/>
      <c r="K24" s="9"/>
    </row>
    <row r="25" customFormat="false" ht="15" hidden="false" customHeight="false" outlineLevel="0" collapsed="false">
      <c r="A25" s="7" t="n">
        <f aca="false">IF(B25="","",ROW()-4)</f>
        <v>21</v>
      </c>
      <c r="B25" s="7" t="s">
        <v>43</v>
      </c>
      <c r="C25" s="8" t="s">
        <v>23</v>
      </c>
      <c r="D25" s="7" t="s">
        <v>24</v>
      </c>
      <c r="E25" s="9"/>
      <c r="F25" s="9"/>
      <c r="G25" s="10"/>
      <c r="H25" s="9"/>
      <c r="I25" s="9"/>
      <c r="J25" s="9"/>
      <c r="K25" s="9"/>
    </row>
    <row r="26" customFormat="false" ht="15" hidden="false" customHeight="false" outlineLevel="0" collapsed="false">
      <c r="A26" s="7" t="n">
        <f aca="false">IF(B26="","",ROW()-4)</f>
        <v>22</v>
      </c>
      <c r="B26" s="7" t="s">
        <v>44</v>
      </c>
      <c r="C26" s="8" t="s">
        <v>23</v>
      </c>
      <c r="D26" s="7" t="s">
        <v>24</v>
      </c>
      <c r="E26" s="9"/>
      <c r="F26" s="9"/>
      <c r="G26" s="10"/>
      <c r="H26" s="9"/>
      <c r="I26" s="9"/>
      <c r="J26" s="9"/>
      <c r="K26" s="9"/>
    </row>
    <row r="27" customFormat="false" ht="15" hidden="false" customHeight="false" outlineLevel="0" collapsed="false">
      <c r="A27" s="7" t="n">
        <f aca="false">IF(B27="","",ROW()-4)</f>
        <v>23</v>
      </c>
      <c r="B27" s="7" t="s">
        <v>45</v>
      </c>
      <c r="C27" s="8" t="s">
        <v>23</v>
      </c>
      <c r="D27" s="7" t="s">
        <v>24</v>
      </c>
      <c r="E27" s="9"/>
      <c r="F27" s="9"/>
      <c r="G27" s="10"/>
      <c r="H27" s="9"/>
      <c r="I27" s="9"/>
      <c r="J27" s="9"/>
      <c r="K27" s="9"/>
    </row>
    <row r="28" customFormat="false" ht="15" hidden="false" customHeight="false" outlineLevel="0" collapsed="false">
      <c r="A28" s="7" t="n">
        <f aca="false">IF(B28="","",ROW()-4)</f>
        <v>24</v>
      </c>
      <c r="B28" s="7" t="s">
        <v>46</v>
      </c>
      <c r="C28" s="8" t="s">
        <v>23</v>
      </c>
      <c r="D28" s="7" t="s">
        <v>24</v>
      </c>
      <c r="E28" s="9"/>
      <c r="F28" s="9"/>
      <c r="G28" s="10"/>
      <c r="H28" s="9"/>
      <c r="I28" s="9"/>
      <c r="J28" s="9"/>
      <c r="K28" s="9"/>
    </row>
    <row r="29" customFormat="false" ht="15" hidden="false" customHeight="false" outlineLevel="0" collapsed="false">
      <c r="A29" s="7" t="n">
        <f aca="false">IF(B29="","",ROW()-4)</f>
        <v>25</v>
      </c>
      <c r="B29" s="7" t="s">
        <v>47</v>
      </c>
      <c r="C29" s="8" t="s">
        <v>23</v>
      </c>
      <c r="D29" s="7" t="s">
        <v>24</v>
      </c>
      <c r="E29" s="9"/>
      <c r="F29" s="9"/>
      <c r="G29" s="10"/>
      <c r="H29" s="9"/>
      <c r="I29" s="9"/>
      <c r="J29" s="9"/>
      <c r="K29" s="9"/>
    </row>
    <row r="30" customFormat="false" ht="15" hidden="false" customHeight="false" outlineLevel="0" collapsed="false">
      <c r="A30" s="7" t="n">
        <f aca="false">IF(B30="","",ROW()-4)</f>
        <v>26</v>
      </c>
      <c r="B30" s="7" t="s">
        <v>48</v>
      </c>
      <c r="C30" s="8" t="s">
        <v>23</v>
      </c>
      <c r="D30" s="7" t="s">
        <v>24</v>
      </c>
      <c r="E30" s="9"/>
      <c r="F30" s="9"/>
      <c r="G30" s="10"/>
      <c r="H30" s="9"/>
      <c r="I30" s="9"/>
      <c r="J30" s="9"/>
      <c r="K30" s="9"/>
    </row>
    <row r="31" customFormat="false" ht="15" hidden="false" customHeight="false" outlineLevel="0" collapsed="false">
      <c r="A31" s="7" t="n">
        <f aca="false">IF(B31="","",ROW()-4)</f>
        <v>27</v>
      </c>
      <c r="B31" s="7" t="s">
        <v>49</v>
      </c>
      <c r="C31" s="8" t="s">
        <v>23</v>
      </c>
      <c r="D31" s="7" t="s">
        <v>24</v>
      </c>
      <c r="E31" s="9"/>
      <c r="F31" s="9"/>
      <c r="G31" s="10"/>
      <c r="H31" s="9"/>
      <c r="I31" s="9"/>
      <c r="J31" s="9"/>
      <c r="K31" s="9"/>
    </row>
    <row r="32" customFormat="false" ht="15" hidden="false" customHeight="false" outlineLevel="0" collapsed="false">
      <c r="A32" s="7" t="n">
        <f aca="false">IF(B32="","",ROW()-4)</f>
        <v>28</v>
      </c>
      <c r="B32" s="7" t="s">
        <v>50</v>
      </c>
      <c r="C32" s="8" t="s">
        <v>23</v>
      </c>
      <c r="D32" s="7" t="s">
        <v>24</v>
      </c>
      <c r="E32" s="9"/>
      <c r="F32" s="9"/>
      <c r="G32" s="10"/>
      <c r="H32" s="9"/>
      <c r="I32" s="9"/>
      <c r="J32" s="9"/>
      <c r="K32" s="9"/>
    </row>
    <row r="33" customFormat="false" ht="15" hidden="false" customHeight="false" outlineLevel="0" collapsed="false">
      <c r="A33" s="7" t="n">
        <f aca="false">IF(B33="","",ROW()-4)</f>
        <v>29</v>
      </c>
      <c r="B33" s="7" t="s">
        <v>51</v>
      </c>
      <c r="C33" s="8" t="s">
        <v>23</v>
      </c>
      <c r="D33" s="7" t="s">
        <v>24</v>
      </c>
      <c r="E33" s="9"/>
      <c r="F33" s="9"/>
      <c r="G33" s="10"/>
      <c r="H33" s="9"/>
      <c r="I33" s="9"/>
      <c r="J33" s="9"/>
      <c r="K33" s="9"/>
    </row>
    <row r="34" customFormat="false" ht="15" hidden="false" customHeight="false" outlineLevel="0" collapsed="false">
      <c r="A34" s="7" t="n">
        <f aca="false">IF(B34="","",ROW()-4)</f>
        <v>30</v>
      </c>
      <c r="B34" s="7" t="s">
        <v>52</v>
      </c>
      <c r="C34" s="8" t="s">
        <v>23</v>
      </c>
      <c r="D34" s="7" t="s">
        <v>24</v>
      </c>
      <c r="E34" s="9"/>
      <c r="F34" s="9"/>
      <c r="G34" s="10"/>
      <c r="H34" s="9"/>
      <c r="I34" s="9"/>
      <c r="J34" s="9"/>
      <c r="K34" s="9"/>
    </row>
    <row r="35" customFormat="false" ht="15" hidden="false" customHeight="false" outlineLevel="0" collapsed="false">
      <c r="A35" s="7" t="n">
        <f aca="false">IF(B35="","",ROW()-4)</f>
        <v>31</v>
      </c>
      <c r="B35" s="7" t="s">
        <v>53</v>
      </c>
      <c r="C35" s="8" t="s">
        <v>23</v>
      </c>
      <c r="D35" s="7" t="s">
        <v>24</v>
      </c>
      <c r="E35" s="9"/>
      <c r="F35" s="9"/>
      <c r="G35" s="10"/>
      <c r="H35" s="9"/>
      <c r="I35" s="9"/>
      <c r="J35" s="9"/>
      <c r="K35" s="9"/>
    </row>
    <row r="36" customFormat="false" ht="15" hidden="false" customHeight="false" outlineLevel="0" collapsed="false">
      <c r="A36" s="7" t="str">
        <f aca="false">IF(B36="","",ROW()-4)</f>
        <v/>
      </c>
      <c r="B36" s="9"/>
      <c r="C36" s="9"/>
      <c r="D36" s="9"/>
      <c r="E36" s="9"/>
      <c r="F36" s="9"/>
      <c r="G36" s="10"/>
      <c r="H36" s="9"/>
      <c r="I36" s="9"/>
      <c r="J36" s="9"/>
      <c r="K36" s="9"/>
    </row>
    <row r="37" customFormat="false" ht="15" hidden="false" customHeight="false" outlineLevel="0" collapsed="false">
      <c r="A37" s="7" t="str">
        <f aca="false">IF(B37="","",ROW()-4)</f>
        <v/>
      </c>
      <c r="B37" s="9"/>
      <c r="C37" s="9"/>
      <c r="D37" s="9"/>
      <c r="E37" s="9"/>
      <c r="F37" s="9"/>
      <c r="G37" s="10"/>
      <c r="H37" s="9"/>
      <c r="I37" s="9"/>
      <c r="J37" s="9"/>
      <c r="K37" s="9"/>
    </row>
    <row r="38" customFormat="false" ht="15" hidden="false" customHeight="false" outlineLevel="0" collapsed="false">
      <c r="A38" s="7" t="str">
        <f aca="false">IF(B38="","",ROW()-4)</f>
        <v/>
      </c>
      <c r="B38" s="9"/>
      <c r="C38" s="9"/>
      <c r="D38" s="9"/>
      <c r="E38" s="9"/>
      <c r="F38" s="9"/>
      <c r="G38" s="10"/>
      <c r="H38" s="9"/>
      <c r="I38" s="9"/>
      <c r="J38" s="9"/>
      <c r="K38" s="9"/>
    </row>
    <row r="39" customFormat="false" ht="15" hidden="false" customHeight="false" outlineLevel="0" collapsed="false">
      <c r="A39" s="7" t="str">
        <f aca="false">IF(B39="","",ROW()-4)</f>
        <v/>
      </c>
      <c r="B39" s="9"/>
      <c r="C39" s="9"/>
      <c r="D39" s="9"/>
      <c r="E39" s="9"/>
      <c r="F39" s="9"/>
      <c r="G39" s="10"/>
      <c r="H39" s="9"/>
      <c r="I39" s="9"/>
      <c r="J39" s="9"/>
      <c r="K39" s="9"/>
    </row>
    <row r="40" customFormat="false" ht="15" hidden="false" customHeight="false" outlineLevel="0" collapsed="false">
      <c r="A40" s="7" t="str">
        <f aca="false">IF(B40="","",ROW()-4)</f>
        <v/>
      </c>
      <c r="B40" s="9"/>
      <c r="C40" s="9"/>
      <c r="D40" s="9"/>
      <c r="E40" s="9"/>
      <c r="F40" s="9"/>
      <c r="G40" s="10"/>
      <c r="H40" s="9"/>
      <c r="I40" s="9"/>
      <c r="J40" s="9"/>
      <c r="K40" s="9"/>
    </row>
    <row r="41" customFormat="false" ht="15" hidden="false" customHeight="false" outlineLevel="0" collapsed="false">
      <c r="A41" s="7" t="str">
        <f aca="false">IF(B41="","",ROW()-4)</f>
        <v/>
      </c>
      <c r="B41" s="9"/>
      <c r="C41" s="9"/>
      <c r="D41" s="9"/>
      <c r="E41" s="9"/>
      <c r="F41" s="9"/>
      <c r="G41" s="10"/>
      <c r="H41" s="9"/>
      <c r="I41" s="9"/>
      <c r="J41" s="9"/>
      <c r="K41" s="9"/>
    </row>
    <row r="42" customFormat="false" ht="15" hidden="false" customHeight="false" outlineLevel="0" collapsed="false">
      <c r="A42" s="7" t="str">
        <f aca="false">IF(B42="","",ROW()-4)</f>
        <v/>
      </c>
      <c r="B42" s="9"/>
      <c r="C42" s="9"/>
      <c r="D42" s="9"/>
      <c r="E42" s="9"/>
      <c r="F42" s="9"/>
      <c r="G42" s="10"/>
      <c r="H42" s="9"/>
      <c r="I42" s="9"/>
      <c r="J42" s="9"/>
      <c r="K42" s="9"/>
    </row>
    <row r="43" customFormat="false" ht="15" hidden="false" customHeight="false" outlineLevel="0" collapsed="false">
      <c r="A43" s="7" t="str">
        <f aca="false">IF(B43="","",ROW()-4)</f>
        <v/>
      </c>
      <c r="B43" s="9"/>
      <c r="C43" s="9"/>
      <c r="D43" s="9"/>
      <c r="E43" s="9"/>
      <c r="F43" s="9"/>
      <c r="G43" s="10"/>
      <c r="H43" s="9"/>
      <c r="I43" s="9"/>
      <c r="J43" s="9"/>
      <c r="K43" s="9"/>
    </row>
    <row r="44" customFormat="false" ht="15" hidden="false" customHeight="false" outlineLevel="0" collapsed="false">
      <c r="A44" s="7" t="str">
        <f aca="false">IF(B44="","",ROW()-4)</f>
        <v/>
      </c>
      <c r="B44" s="9"/>
      <c r="C44" s="9"/>
      <c r="D44" s="9"/>
      <c r="E44" s="9"/>
      <c r="F44" s="9"/>
      <c r="G44" s="10"/>
      <c r="H44" s="9"/>
      <c r="I44" s="9"/>
      <c r="J44" s="9"/>
      <c r="K44" s="9"/>
    </row>
    <row r="45" customFormat="false" ht="15" hidden="false" customHeight="false" outlineLevel="0" collapsed="false">
      <c r="A45" s="7" t="str">
        <f aca="false">IF(B45="","",ROW()-4)</f>
        <v/>
      </c>
      <c r="B45" s="9"/>
      <c r="C45" s="9"/>
      <c r="D45" s="9"/>
      <c r="E45" s="9"/>
      <c r="F45" s="9"/>
      <c r="G45" s="10"/>
      <c r="H45" s="9"/>
      <c r="I45" s="9"/>
      <c r="J45" s="9"/>
      <c r="K45" s="9"/>
    </row>
    <row r="46" customFormat="false" ht="15" hidden="false" customHeight="false" outlineLevel="0" collapsed="false">
      <c r="A46" s="7" t="str">
        <f aca="false">IF(B46="","",ROW()-4)</f>
        <v/>
      </c>
      <c r="B46" s="9"/>
      <c r="C46" s="9"/>
      <c r="D46" s="9"/>
      <c r="E46" s="9"/>
      <c r="F46" s="9"/>
      <c r="G46" s="10"/>
      <c r="H46" s="9"/>
      <c r="I46" s="9"/>
      <c r="J46" s="9"/>
      <c r="K46" s="9"/>
    </row>
    <row r="47" customFormat="false" ht="15" hidden="false" customHeight="false" outlineLevel="0" collapsed="false">
      <c r="A47" s="7" t="str">
        <f aca="false">IF(B47="","",ROW()-4)</f>
        <v/>
      </c>
      <c r="B47" s="9"/>
      <c r="C47" s="9"/>
      <c r="D47" s="9"/>
      <c r="E47" s="9"/>
      <c r="F47" s="9"/>
      <c r="G47" s="10"/>
      <c r="H47" s="9"/>
      <c r="I47" s="9"/>
      <c r="J47" s="9"/>
      <c r="K47" s="9"/>
    </row>
    <row r="48" customFormat="false" ht="15" hidden="false" customHeight="false" outlineLevel="0" collapsed="false">
      <c r="A48" s="7" t="str">
        <f aca="false">IF(B48="","",ROW()-4)</f>
        <v/>
      </c>
      <c r="B48" s="9"/>
      <c r="C48" s="9"/>
      <c r="D48" s="9"/>
      <c r="E48" s="9"/>
      <c r="F48" s="9"/>
      <c r="G48" s="10"/>
      <c r="H48" s="9"/>
      <c r="I48" s="9"/>
      <c r="J48" s="9"/>
      <c r="K48" s="9"/>
    </row>
    <row r="49" customFormat="false" ht="15" hidden="false" customHeight="false" outlineLevel="0" collapsed="false">
      <c r="A49" s="7" t="str">
        <f aca="false">IF(B49="","",ROW()-4)</f>
        <v/>
      </c>
      <c r="B49" s="9"/>
      <c r="C49" s="9"/>
      <c r="D49" s="9"/>
      <c r="E49" s="9"/>
      <c r="F49" s="9"/>
      <c r="G49" s="10"/>
      <c r="H49" s="9"/>
      <c r="I49" s="9"/>
      <c r="J49" s="9"/>
      <c r="K49" s="9"/>
    </row>
    <row r="50" customFormat="false" ht="15" hidden="false" customHeight="false" outlineLevel="0" collapsed="false">
      <c r="A50" s="7" t="str">
        <f aca="false">IF(B50="","",ROW()-4)</f>
        <v/>
      </c>
      <c r="B50" s="9"/>
      <c r="C50" s="9"/>
      <c r="D50" s="9"/>
      <c r="E50" s="9"/>
      <c r="F50" s="9"/>
      <c r="G50" s="10"/>
      <c r="H50" s="9"/>
      <c r="I50" s="9"/>
      <c r="J50" s="9"/>
      <c r="K50" s="9"/>
    </row>
    <row r="51" customFormat="false" ht="15" hidden="false" customHeight="false" outlineLevel="0" collapsed="false">
      <c r="A51" s="7" t="str">
        <f aca="false">IF(B51="","",ROW()-4)</f>
        <v/>
      </c>
      <c r="B51" s="9"/>
      <c r="C51" s="9"/>
      <c r="D51" s="9"/>
      <c r="E51" s="9"/>
      <c r="F51" s="9"/>
      <c r="G51" s="10"/>
      <c r="H51" s="9"/>
      <c r="I51" s="9"/>
      <c r="J51" s="9"/>
      <c r="K51" s="9"/>
    </row>
    <row r="52" customFormat="false" ht="15" hidden="false" customHeight="false" outlineLevel="0" collapsed="false">
      <c r="A52" s="7" t="str">
        <f aca="false">IF(B52="","",ROW()-4)</f>
        <v/>
      </c>
      <c r="B52" s="9"/>
      <c r="C52" s="9"/>
      <c r="D52" s="9"/>
      <c r="E52" s="9"/>
      <c r="F52" s="9"/>
      <c r="G52" s="10"/>
      <c r="H52" s="9"/>
      <c r="I52" s="9"/>
      <c r="J52" s="9"/>
      <c r="K52" s="9"/>
    </row>
    <row r="53" customFormat="false" ht="15" hidden="false" customHeight="false" outlineLevel="0" collapsed="false">
      <c r="A53" s="7" t="str">
        <f aca="false">IF(B53="","",ROW()-4)</f>
        <v/>
      </c>
      <c r="B53" s="9"/>
      <c r="C53" s="9"/>
      <c r="D53" s="9"/>
      <c r="E53" s="9"/>
      <c r="F53" s="9"/>
      <c r="G53" s="10"/>
      <c r="H53" s="9"/>
      <c r="I53" s="9"/>
      <c r="J53" s="9"/>
      <c r="K53" s="9"/>
    </row>
    <row r="54" customFormat="false" ht="15" hidden="false" customHeight="false" outlineLevel="0" collapsed="false">
      <c r="A54" s="7" t="str">
        <f aca="false">IF(B54="","",ROW()-4)</f>
        <v/>
      </c>
      <c r="B54" s="9"/>
      <c r="C54" s="9"/>
      <c r="D54" s="9"/>
      <c r="E54" s="9"/>
      <c r="F54" s="9"/>
      <c r="G54" s="10"/>
      <c r="H54" s="9"/>
      <c r="I54" s="9"/>
      <c r="J54" s="9"/>
      <c r="K54" s="9"/>
    </row>
    <row r="55" customFormat="false" ht="15" hidden="false" customHeight="false" outlineLevel="0" collapsed="false">
      <c r="A55" s="7" t="str">
        <f aca="false">IF(B55="","",ROW()-4)</f>
        <v/>
      </c>
      <c r="B55" s="9"/>
      <c r="C55" s="9"/>
      <c r="D55" s="9"/>
      <c r="E55" s="9"/>
      <c r="F55" s="9"/>
      <c r="G55" s="10"/>
      <c r="H55" s="9"/>
      <c r="I55" s="9"/>
      <c r="J55" s="9"/>
      <c r="K55" s="9"/>
    </row>
    <row r="56" customFormat="false" ht="15" hidden="false" customHeight="false" outlineLevel="0" collapsed="false">
      <c r="A56" s="7" t="str">
        <f aca="false">IF(B56="","",ROW()-4)</f>
        <v/>
      </c>
      <c r="B56" s="9"/>
      <c r="C56" s="9"/>
      <c r="D56" s="9"/>
      <c r="E56" s="9"/>
      <c r="F56" s="9"/>
      <c r="G56" s="10"/>
      <c r="H56" s="9"/>
      <c r="I56" s="9"/>
      <c r="J56" s="9"/>
      <c r="K56" s="9"/>
    </row>
    <row r="57" customFormat="false" ht="15" hidden="false" customHeight="false" outlineLevel="0" collapsed="false">
      <c r="A57" s="7" t="str">
        <f aca="false">IF(B57="","",ROW()-4)</f>
        <v/>
      </c>
      <c r="B57" s="9"/>
      <c r="C57" s="9"/>
      <c r="D57" s="9"/>
      <c r="E57" s="9"/>
      <c r="F57" s="9"/>
      <c r="G57" s="10"/>
      <c r="H57" s="9"/>
      <c r="I57" s="9"/>
      <c r="J57" s="9"/>
      <c r="K57" s="9"/>
    </row>
    <row r="58" customFormat="false" ht="15" hidden="false" customHeight="false" outlineLevel="0" collapsed="false">
      <c r="A58" s="7" t="str">
        <f aca="false">IF(B58="","",ROW()-4)</f>
        <v/>
      </c>
      <c r="B58" s="9"/>
      <c r="C58" s="9"/>
      <c r="D58" s="9"/>
      <c r="E58" s="9"/>
      <c r="F58" s="9"/>
      <c r="G58" s="10"/>
      <c r="H58" s="9"/>
      <c r="I58" s="9"/>
      <c r="J58" s="9"/>
      <c r="K58" s="9"/>
    </row>
    <row r="59" customFormat="false" ht="15" hidden="false" customHeight="false" outlineLevel="0" collapsed="false">
      <c r="A59" s="7" t="str">
        <f aca="false">IF(B59="","",ROW()-4)</f>
        <v/>
      </c>
      <c r="B59" s="9"/>
      <c r="C59" s="9"/>
      <c r="D59" s="9"/>
      <c r="E59" s="9"/>
      <c r="F59" s="9"/>
      <c r="G59" s="10"/>
      <c r="H59" s="9"/>
      <c r="I59" s="9"/>
      <c r="J59" s="9"/>
      <c r="K59" s="9"/>
    </row>
    <row r="60" customFormat="false" ht="15" hidden="false" customHeight="false" outlineLevel="0" collapsed="false">
      <c r="A60" s="7" t="str">
        <f aca="false">IF(B60="","",ROW()-4)</f>
        <v/>
      </c>
      <c r="B60" s="9"/>
      <c r="C60" s="9"/>
      <c r="D60" s="9"/>
      <c r="E60" s="9"/>
      <c r="F60" s="9"/>
      <c r="G60" s="10"/>
      <c r="H60" s="9"/>
      <c r="I60" s="9"/>
      <c r="J60" s="9"/>
      <c r="K60" s="9"/>
    </row>
    <row r="61" customFormat="false" ht="15" hidden="false" customHeight="false" outlineLevel="0" collapsed="false">
      <c r="A61" s="7" t="str">
        <f aca="false">IF(B61="","",ROW()-4)</f>
        <v/>
      </c>
      <c r="B61" s="9"/>
      <c r="C61" s="9"/>
      <c r="D61" s="9"/>
      <c r="E61" s="9"/>
      <c r="F61" s="9"/>
      <c r="G61" s="10"/>
      <c r="H61" s="9"/>
      <c r="I61" s="9"/>
      <c r="J61" s="9"/>
      <c r="K61" s="9"/>
    </row>
    <row r="62" customFormat="false" ht="15" hidden="false" customHeight="false" outlineLevel="0" collapsed="false">
      <c r="A62" s="7" t="str">
        <f aca="false">IF(B62="","",ROW()-4)</f>
        <v/>
      </c>
      <c r="B62" s="9"/>
      <c r="C62" s="9"/>
      <c r="D62" s="9"/>
      <c r="E62" s="9"/>
      <c r="F62" s="9"/>
      <c r="G62" s="10"/>
      <c r="H62" s="9"/>
      <c r="I62" s="9"/>
      <c r="J62" s="9"/>
      <c r="K62" s="9"/>
    </row>
    <row r="63" customFormat="false" ht="15" hidden="false" customHeight="false" outlineLevel="0" collapsed="false">
      <c r="A63" s="7" t="str">
        <f aca="false">IF(B63="","",ROW()-4)</f>
        <v/>
      </c>
      <c r="B63" s="9"/>
      <c r="C63" s="9"/>
      <c r="D63" s="9"/>
      <c r="E63" s="9"/>
      <c r="F63" s="9"/>
      <c r="G63" s="10"/>
      <c r="H63" s="9"/>
      <c r="I63" s="9"/>
      <c r="J63" s="9"/>
      <c r="K63" s="9"/>
    </row>
    <row r="64" customFormat="false" ht="15" hidden="false" customHeight="false" outlineLevel="0" collapsed="false">
      <c r="A64" s="7" t="str">
        <f aca="false">IF(B64="","",ROW()-4)</f>
        <v/>
      </c>
      <c r="B64" s="9"/>
      <c r="C64" s="9"/>
      <c r="D64" s="9"/>
      <c r="E64" s="9"/>
      <c r="F64" s="9"/>
      <c r="G64" s="10"/>
      <c r="H64" s="9"/>
      <c r="I64" s="9"/>
      <c r="J64" s="9"/>
      <c r="K64" s="9"/>
    </row>
    <row r="65" customFormat="false" ht="15" hidden="false" customHeight="false" outlineLevel="0" collapsed="false">
      <c r="A65" s="7" t="str">
        <f aca="false">IF(B65="","",ROW()-4)</f>
        <v/>
      </c>
      <c r="B65" s="9"/>
      <c r="C65" s="9"/>
      <c r="D65" s="9"/>
      <c r="E65" s="9"/>
      <c r="F65" s="9"/>
      <c r="G65" s="10"/>
      <c r="H65" s="9"/>
      <c r="I65" s="9"/>
      <c r="J65" s="9"/>
      <c r="K65" s="9"/>
    </row>
  </sheetData>
  <autoFilter ref="A4:K65"/>
  <mergeCells count="2">
    <mergeCell ref="A1:K1"/>
    <mergeCell ref="A2:K2"/>
  </mergeCells>
  <dataValidations count="4">
    <dataValidation allowBlank="true" errorStyle="stop" operator="between" showDropDown="false" showErrorMessage="false" showInputMessage="false" sqref="C5:C65" type="list">
      <formula1>Lists!$A$2:$A$3</formula1>
      <formula2>0</formula2>
    </dataValidation>
    <dataValidation allowBlank="true" errorStyle="stop" operator="between" showDropDown="false" showErrorMessage="false" showInputMessage="false" sqref="E5:E65" type="list">
      <formula1>Lists!$C$2:$C$12</formula1>
      <formula2>0</formula2>
    </dataValidation>
    <dataValidation allowBlank="true" errorStyle="stop" operator="between" showDropDown="false" showErrorMessage="false" showInputMessage="false" sqref="F5:F65" type="list">
      <formula1>Lists!$B$2:$B$11</formula1>
      <formula2>0</formula2>
    </dataValidation>
    <dataValidation allowBlank="true" errorStyle="stop" operator="between" showDropDown="false" showErrorMessage="false" showInputMessage="false" sqref="H5:H65" type="list">
      <formula1>Lists!$D$2:$D$6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1" t="s">
        <v>4</v>
      </c>
      <c r="B1" s="11" t="s">
        <v>7</v>
      </c>
      <c r="C1" s="11" t="s">
        <v>54</v>
      </c>
      <c r="D1" s="11" t="s">
        <v>9</v>
      </c>
    </row>
    <row r="2" customFormat="false" ht="15" hidden="false" customHeight="false" outlineLevel="0" collapsed="false">
      <c r="A2" s="12" t="s">
        <v>14</v>
      </c>
      <c r="B2" s="12" t="s">
        <v>17</v>
      </c>
      <c r="C2" s="12" t="s">
        <v>55</v>
      </c>
      <c r="D2" s="12" t="s">
        <v>56</v>
      </c>
    </row>
    <row r="3" customFormat="false" ht="15" hidden="false" customHeight="false" outlineLevel="0" collapsed="false">
      <c r="A3" s="12" t="s">
        <v>23</v>
      </c>
      <c r="B3" s="12" t="s">
        <v>57</v>
      </c>
      <c r="C3" s="12" t="s">
        <v>58</v>
      </c>
      <c r="D3" s="12" t="s">
        <v>18</v>
      </c>
    </row>
    <row r="4" customFormat="false" ht="15" hidden="false" customHeight="false" outlineLevel="0" collapsed="false">
      <c r="B4" s="12" t="s">
        <v>59</v>
      </c>
      <c r="C4" s="12" t="s">
        <v>60</v>
      </c>
      <c r="D4" s="12" t="s">
        <v>61</v>
      </c>
    </row>
    <row r="5" customFormat="false" ht="15" hidden="false" customHeight="false" outlineLevel="0" collapsed="false">
      <c r="B5" s="12" t="s">
        <v>62</v>
      </c>
      <c r="C5" s="12" t="s">
        <v>63</v>
      </c>
      <c r="D5" s="12" t="s">
        <v>64</v>
      </c>
    </row>
    <row r="6" customFormat="false" ht="15" hidden="false" customHeight="false" outlineLevel="0" collapsed="false">
      <c r="B6" s="12" t="s">
        <v>65</v>
      </c>
      <c r="C6" s="12" t="s">
        <v>66</v>
      </c>
      <c r="D6" s="12" t="s">
        <v>67</v>
      </c>
    </row>
    <row r="7" customFormat="false" ht="15" hidden="false" customHeight="false" outlineLevel="0" collapsed="false">
      <c r="B7" s="12" t="s">
        <v>68</v>
      </c>
      <c r="C7" s="12" t="s">
        <v>16</v>
      </c>
    </row>
    <row r="8" customFormat="false" ht="15" hidden="false" customHeight="false" outlineLevel="0" collapsed="false">
      <c r="B8" s="12" t="s">
        <v>69</v>
      </c>
      <c r="C8" s="12" t="s">
        <v>70</v>
      </c>
    </row>
    <row r="9" customFormat="false" ht="15" hidden="false" customHeight="false" outlineLevel="0" collapsed="false">
      <c r="B9" s="12" t="s">
        <v>71</v>
      </c>
      <c r="C9" s="12" t="s">
        <v>72</v>
      </c>
    </row>
    <row r="10" customFormat="false" ht="15" hidden="false" customHeight="false" outlineLevel="0" collapsed="false">
      <c r="B10" s="12" t="s">
        <v>73</v>
      </c>
      <c r="C10" s="12" t="s">
        <v>74</v>
      </c>
    </row>
    <row r="11" customFormat="false" ht="15" hidden="false" customHeight="false" outlineLevel="0" collapsed="false">
      <c r="B11" s="12" t="s">
        <v>75</v>
      </c>
      <c r="C11" s="12" t="s">
        <v>76</v>
      </c>
    </row>
    <row r="12" customFormat="false" ht="15" hidden="false" customHeight="false" outlineLevel="0" collapsed="false">
      <c r="C12" s="1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24" hidden="false" customHeight="true" outlineLevel="0" collapsed="false">
      <c r="A1" s="13" t="s">
        <v>78</v>
      </c>
      <c r="B1" s="13"/>
      <c r="C1" s="13"/>
    </row>
    <row r="2" customFormat="false" ht="15" hidden="false" customHeight="false" outlineLevel="0" collapsed="false">
      <c r="A2" s="14" t="s">
        <v>79</v>
      </c>
    </row>
    <row r="4" customFormat="false" ht="15" hidden="false" customHeight="false" outlineLevel="0" collapsed="false">
      <c r="A4" s="15" t="s">
        <v>80</v>
      </c>
      <c r="B4" s="15" t="s">
        <v>81</v>
      </c>
      <c r="C4" s="15" t="s">
        <v>82</v>
      </c>
    </row>
    <row r="5" customFormat="false" ht="15" hidden="false" customHeight="false" outlineLevel="0" collapsed="false">
      <c r="A5" s="16" t="s">
        <v>83</v>
      </c>
      <c r="B5" s="17" t="n">
        <f aca="false">COUNTIF('Sign Inventory'!$B$5:$B$65,"&lt;&gt;")</f>
        <v>31</v>
      </c>
      <c r="C5" s="17" t="n">
        <f aca="false">SUM('Sign Inventory'!$G$5:$G$65)</f>
        <v>2</v>
      </c>
    </row>
    <row r="6" customFormat="false" ht="15" hidden="false" customHeight="false" outlineLevel="0" collapsed="false">
      <c r="A6" s="16" t="s">
        <v>84</v>
      </c>
      <c r="B6" s="17" t="n">
        <f aca="false">COUNTIF('Sign Inventory'!$C$5:$C$65,"Sponsor")</f>
        <v>1</v>
      </c>
      <c r="C6" s="17" t="n">
        <f aca="false">SUMIFS('Sign Inventory'!$G$5:$G$65,'Sign Inventory'!$C$5:$C$65,"Sponsor")</f>
        <v>2</v>
      </c>
    </row>
    <row r="7" customFormat="false" ht="15" hidden="false" customHeight="false" outlineLevel="0" collapsed="false">
      <c r="A7" s="16" t="s">
        <v>85</v>
      </c>
      <c r="B7" s="17" t="n">
        <f aca="false">COUNTIF('Sign Inventory'!$C$5:$C$65,"Operations")</f>
        <v>30</v>
      </c>
      <c r="C7" s="17" t="n">
        <f aca="false">SUMIFS('Sign Inventory'!$G$5:$G$65,'Sign Inventory'!$C$5:$C$65,"Operations")</f>
        <v>0</v>
      </c>
    </row>
    <row r="8" customFormat="false" ht="15" hidden="false" customHeight="false" outlineLevel="0" collapsed="false">
      <c r="A8" s="16" t="s">
        <v>86</v>
      </c>
      <c r="B8" s="17" t="n">
        <f aca="false">COUNTIFS('Sign Inventory'!$B$5:$B$65,"&lt;&gt;",'Sign Inventory'!$C$5:$C$65,"")</f>
        <v>0</v>
      </c>
      <c r="C8" s="17"/>
    </row>
    <row r="9" customFormat="false" ht="15" hidden="false" customHeight="false" outlineLevel="0" collapsed="false">
      <c r="A9" s="17"/>
      <c r="B9" s="17"/>
      <c r="C9" s="17"/>
    </row>
    <row r="10" customFormat="false" ht="15" hidden="false" customHeight="false" outlineLevel="0" collapsed="false">
      <c r="A10" s="15" t="s">
        <v>87</v>
      </c>
      <c r="B10" s="15" t="s">
        <v>81</v>
      </c>
      <c r="C10" s="15" t="s">
        <v>82</v>
      </c>
    </row>
    <row r="11" customFormat="false" ht="15" hidden="false" customHeight="false" outlineLevel="0" collapsed="false">
      <c r="A11" s="16" t="s">
        <v>17</v>
      </c>
      <c r="B11" s="17" t="n">
        <f aca="false">COUNTIF('Sign Inventory'!$F$5:$F$65,"Coroplast (corrugated plastic)")</f>
        <v>1</v>
      </c>
      <c r="C11" s="17" t="n">
        <f aca="false">SUMIFS('Sign Inventory'!$G$5:$G$65,'Sign Inventory'!$F$5:$F$65,"Coroplast (corrugated plastic)")</f>
        <v>2</v>
      </c>
    </row>
    <row r="12" customFormat="false" ht="15" hidden="false" customHeight="false" outlineLevel="0" collapsed="false">
      <c r="A12" s="16" t="s">
        <v>57</v>
      </c>
      <c r="B12" s="17" t="n">
        <f aca="false">COUNTIF('Sign Inventory'!$F$5:$F$65,"Vinyl banner")</f>
        <v>0</v>
      </c>
      <c r="C12" s="17" t="n">
        <f aca="false">SUMIFS('Sign Inventory'!$G$5:$G$65,'Sign Inventory'!$F$5:$F$65,"Vinyl banner")</f>
        <v>0</v>
      </c>
    </row>
    <row r="13" customFormat="false" ht="15" hidden="false" customHeight="false" outlineLevel="0" collapsed="false">
      <c r="A13" s="16" t="s">
        <v>59</v>
      </c>
      <c r="B13" s="17" t="n">
        <f aca="false">COUNTIF('Sign Inventory'!$F$5:$F$65,"Mesh banner")</f>
        <v>0</v>
      </c>
      <c r="C13" s="17" t="n">
        <f aca="false">SUMIFS('Sign Inventory'!$G$5:$G$65,'Sign Inventory'!$F$5:$F$65,"Mesh banner")</f>
        <v>0</v>
      </c>
    </row>
    <row r="14" customFormat="false" ht="15" hidden="false" customHeight="false" outlineLevel="0" collapsed="false">
      <c r="A14" s="16" t="s">
        <v>62</v>
      </c>
      <c r="B14" s="17" t="n">
        <f aca="false">COUNTIF('Sign Inventory'!$F$5:$F$65,"Aluminum / metal")</f>
        <v>0</v>
      </c>
      <c r="C14" s="17" t="n">
        <f aca="false">SUMIFS('Sign Inventory'!$G$5:$G$65,'Sign Inventory'!$F$5:$F$65,"Aluminum / metal")</f>
        <v>0</v>
      </c>
    </row>
    <row r="15" customFormat="false" ht="15" hidden="false" customHeight="false" outlineLevel="0" collapsed="false">
      <c r="A15" s="16" t="s">
        <v>65</v>
      </c>
      <c r="B15" s="17" t="n">
        <f aca="false">COUNTIF('Sign Inventory'!$F$5:$F$65,"Plywood (painted)")</f>
        <v>0</v>
      </c>
      <c r="C15" s="17" t="n">
        <f aca="false">SUMIFS('Sign Inventory'!$G$5:$G$65,'Sign Inventory'!$F$5:$F$65,"Plywood (painted)")</f>
        <v>0</v>
      </c>
    </row>
    <row r="16" customFormat="false" ht="15" hidden="false" customHeight="false" outlineLevel="0" collapsed="false">
      <c r="A16" s="16" t="s">
        <v>68</v>
      </c>
      <c r="B16" s="17" t="n">
        <f aca="false">COUNTIF('Sign Inventory'!$F$5:$F$65,"PVC / Sintra board")</f>
        <v>0</v>
      </c>
      <c r="C16" s="17" t="n">
        <f aca="false">SUMIFS('Sign Inventory'!$G$5:$G$65,'Sign Inventory'!$F$5:$F$65,"PVC / Sintra board")</f>
        <v>0</v>
      </c>
    </row>
    <row r="17" customFormat="false" ht="15" hidden="false" customHeight="false" outlineLevel="0" collapsed="false">
      <c r="A17" s="16" t="s">
        <v>69</v>
      </c>
      <c r="B17" s="17" t="n">
        <f aca="false">COUNTIF('Sign Inventory'!$F$5:$F$65,"Fabric flag")</f>
        <v>0</v>
      </c>
      <c r="C17" s="17" t="n">
        <f aca="false">SUMIFS('Sign Inventory'!$G$5:$G$65,'Sign Inventory'!$F$5:$F$65,"Fabric flag")</f>
        <v>0</v>
      </c>
    </row>
    <row r="18" customFormat="false" ht="15" hidden="false" customHeight="false" outlineLevel="0" collapsed="false">
      <c r="A18" s="16" t="s">
        <v>71</v>
      </c>
      <c r="B18" s="17" t="n">
        <f aca="false">COUNTIF('Sign Inventory'!$F$5:$F$65,"Magnetic")</f>
        <v>0</v>
      </c>
      <c r="C18" s="17" t="n">
        <f aca="false">SUMIFS('Sign Inventory'!$G$5:$G$65,'Sign Inventory'!$F$5:$F$65,"Magnetic")</f>
        <v>0</v>
      </c>
    </row>
    <row r="19" customFormat="false" ht="15" hidden="false" customHeight="false" outlineLevel="0" collapsed="false">
      <c r="A19" s="16" t="s">
        <v>73</v>
      </c>
      <c r="B19" s="17" t="n">
        <f aca="false">COUNTIF('Sign Inventory'!$F$5:$F$65,"Cardboard / paper")</f>
        <v>0</v>
      </c>
      <c r="C19" s="17" t="n">
        <f aca="false">SUMIFS('Sign Inventory'!$G$5:$G$65,'Sign Inventory'!$F$5:$F$65,"Cardboard / paper")</f>
        <v>0</v>
      </c>
    </row>
    <row r="20" customFormat="false" ht="15" hidden="false" customHeight="false" outlineLevel="0" collapsed="false">
      <c r="A20" s="16" t="s">
        <v>75</v>
      </c>
      <c r="B20" s="17" t="n">
        <f aca="false">COUNTIF('Sign Inventory'!$F$5:$F$65,"Other")</f>
        <v>0</v>
      </c>
      <c r="C20" s="17" t="n">
        <f aca="false">SUMIFS('Sign Inventory'!$G$5:$G$65,'Sign Inventory'!$F$5:$F$65,"Other")</f>
        <v>0</v>
      </c>
    </row>
    <row r="21" customFormat="false" ht="15" hidden="false" customHeight="false" outlineLevel="0" collapsed="false">
      <c r="A21" s="17"/>
      <c r="B21" s="17"/>
      <c r="C21" s="17"/>
    </row>
    <row r="22" customFormat="false" ht="15" hidden="false" customHeight="false" outlineLevel="0" collapsed="false">
      <c r="A22" s="15" t="s">
        <v>88</v>
      </c>
      <c r="B22" s="15" t="s">
        <v>81</v>
      </c>
      <c r="C22" s="15"/>
    </row>
    <row r="23" customFormat="false" ht="15" hidden="false" customHeight="false" outlineLevel="0" collapsed="false">
      <c r="A23" s="16" t="s">
        <v>56</v>
      </c>
      <c r="B23" s="17" t="n">
        <f aca="false">COUNTIF('Sign Inventory'!$H$5:$H$65,"New")</f>
        <v>0</v>
      </c>
      <c r="C23" s="17"/>
    </row>
    <row r="24" customFormat="false" ht="15" hidden="false" customHeight="false" outlineLevel="0" collapsed="false">
      <c r="A24" s="16" t="s">
        <v>18</v>
      </c>
      <c r="B24" s="17" t="n">
        <f aca="false">COUNTIF('Sign Inventory'!$H$5:$H$65,"Good")</f>
        <v>1</v>
      </c>
      <c r="C24" s="17"/>
    </row>
    <row r="25" customFormat="false" ht="15" hidden="false" customHeight="false" outlineLevel="0" collapsed="false">
      <c r="A25" s="16" t="s">
        <v>61</v>
      </c>
      <c r="B25" s="17" t="n">
        <f aca="false">COUNTIF('Sign Inventory'!$H$5:$H$65,"Fair")</f>
        <v>0</v>
      </c>
      <c r="C25" s="17"/>
    </row>
    <row r="26" customFormat="false" ht="15" hidden="false" customHeight="false" outlineLevel="0" collapsed="false">
      <c r="A26" s="16" t="s">
        <v>64</v>
      </c>
      <c r="B26" s="17" t="n">
        <f aca="false">COUNTIF('Sign Inventory'!$H$5:$H$65,"Needs repair")</f>
        <v>0</v>
      </c>
      <c r="C26" s="17"/>
    </row>
    <row r="27" customFormat="false" ht="15" hidden="false" customHeight="false" outlineLevel="0" collapsed="false">
      <c r="A27" s="16" t="s">
        <v>67</v>
      </c>
      <c r="B27" s="17" t="n">
        <f aca="false">COUNTIF('Sign Inventory'!$H$5:$H$65,"Replace")</f>
        <v>0</v>
      </c>
      <c r="C27" s="17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2026-07-19T17:53:48Z</dcterms:created>
  <dc:creator>openpyxl</dc:creator>
  <dc:description/>
  <dc:language>en-US</dc:language>
  <cp:lastModifiedBy/>
  <dcterms:modified xsi:type="dcterms:W3CDTF">2026-07-19T17:53:48Z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